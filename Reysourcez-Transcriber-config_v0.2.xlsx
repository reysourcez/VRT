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Languages" sheetId="3" state="visible" r:id="rId5"/>
    <sheet name="Cost planner" sheetId="4" state="visible" r:id="rId6"/>
    <sheet name="Lexicon impor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<sst xmlns="http://schemas.openxmlformats.org/spreadsheetml/2006/main" count="251" uniqueCount="187">
  <si>
    <t xml:space="preserve">Reysourcez Voice Transcriber - control sheet</t>
  </si>
  <si>
    <t xml:space="preserve">Version 0.2 | file: Reysourcez-Transcriber-config_v0.2.xlsx | 2026-10-08</t>
  </si>
  <si>
    <t xml:space="preserve">What this is</t>
  </si>
  <si>
    <t xml:space="preserve">One place that lists every setting you can change, what it is now, and where it lives. Nothing here talks to your website by itself: you change the real setting in the place named in the "Where it lives" column, or send this sheet back to the AI that helps you and ask it to apply your changes.</t>
  </si>
  <si>
    <t xml:space="preserve">How to use it</t>
  </si>
  <si>
    <t xml:space="preserve">1. Open the Settings sheet. Column B is what is set today. Type a new value in column C (yellow cells, blue text). Leave column C empty to keep the current value.</t>
  </si>
  <si>
    <t xml:space="preserve">2. Passwords and keys are never typed here. Their names are listed so you know what to set inside Cloudflare.</t>
  </si>
  <si>
    <t xml:space="preserve">3. Cost planner: change the blue numbers to see a monthly estimate. The prices come from the Settings sheet, so they stay in step.</t>
  </si>
  <si>
    <t xml:space="preserve">4. Lexicon import: fill it in, save that sheet as CSV (File &gt; Save As &gt; CSV), then use Word list &gt; Import a CSV on the page. Keep the header row. The EXAMPLE_TERM row is skipped.</t>
  </si>
  <si>
    <t xml:space="preserve">Colour key</t>
  </si>
  <si>
    <t xml:space="preserve">Blue text on yellow = you can type here.   Black text = fixed or calculated, do not type.</t>
  </si>
  <si>
    <t xml:space="preserve">Costs are estimates from list prices checked on 2026-10-08. Check Google and Cloudflare billing for real figures.</t>
  </si>
  <si>
    <t xml:space="preserve">Setting</t>
  </si>
  <si>
    <t xml:space="preserve">Current data</t>
  </si>
  <si>
    <t xml:space="preserve">Your input</t>
  </si>
  <si>
    <t xml:space="preserve">Where it lives</t>
  </si>
  <si>
    <t xml:space="preserve">What it does</t>
  </si>
  <si>
    <t xml:space="preserve">Page settings (site-config.js)</t>
  </si>
  <si>
    <t xml:space="preserve">apiBase</t>
  </si>
  <si>
    <t xml:space="preserve">https://reysourcez-transcriber-worker.YOUR-SUBDOMAIN.workers.dev</t>
  </si>
  <si>
    <t xml:space="preserve">site-config.js &gt; transcriber</t>
  </si>
  <si>
    <t xml:space="preserve">Address of your Worker. Replace YOUR-SUBDOMAIN after you deploy it.</t>
  </si>
  <si>
    <t xml:space="preserve">consentVersion</t>
  </si>
  <si>
    <t xml:space="preserve">2026-10-v1</t>
  </si>
  <si>
    <t xml:space="preserve">Must equal CONSENT_VERSION in the Worker. Change both when the consent wording changes.</t>
  </si>
  <si>
    <t xml:space="preserve">segmentMinutes</t>
  </si>
  <si>
    <t xml:space="preserve">The recorder cuts a new part every N minutes (never shorter than 3 seconds).</t>
  </si>
  <si>
    <t xml:space="preserve">maxUploadMB</t>
  </si>
  <si>
    <t xml:space="preserve">Largest file the page will upload. The Worker has its own limit too.</t>
  </si>
  <si>
    <t xml:space="preserve">audioBitsPerSecond</t>
  </si>
  <si>
    <t xml:space="preserve">Recording quality. Lower = smaller files. 32000 is fine for speech.</t>
  </si>
  <si>
    <t xml:space="preserve">echoCancellation</t>
  </si>
  <si>
    <t xml:space="preserve">Keep off so recording does not disturb a meeting app on the same computer.</t>
  </si>
  <si>
    <t xml:space="preserve">noiseSuppression</t>
  </si>
  <si>
    <t xml:space="preserve">Off keeps the raw sound, which usually transcribes better.</t>
  </si>
  <si>
    <t xml:space="preserve">autoGainControl</t>
  </si>
  <si>
    <t xml:space="preserve">Evens out quiet and loud speakers.</t>
  </si>
  <si>
    <t xml:space="preserve">tabAudio</t>
  </si>
  <si>
    <t xml:space="preserve">Offer "also record the meeting tab sound" on desktop Chrome and Edge.</t>
  </si>
  <si>
    <t xml:space="preserve">defaultLanguage</t>
  </si>
  <si>
    <t xml:space="preserve">auto</t>
  </si>
  <si>
    <t xml:space="preserve">Language chosen when the page opens. Use an id from the Languages sheet.</t>
  </si>
  <si>
    <t xml:space="preserve">defaultEngine</t>
  </si>
  <si>
    <t xml:space="preserve">auto, gemini, whisper or both.</t>
  </si>
  <si>
    <t xml:space="preserve">Worker settings (Cloudflare Variables)</t>
  </si>
  <si>
    <t xml:space="preserve">ALLOWED_ORIGINS</t>
  </si>
  <si>
    <t xml:space="preserve">https://www.reysourcez.com,https://reysourcez.com</t>
  </si>
  <si>
    <t xml:space="preserve">Cloudflare &gt; Worker &gt; Settings &gt; Variables and secrets &gt; Variables</t>
  </si>
  <si>
    <t xml:space="preserve">Web pages allowed to call the Worker (comma separated). Add your test address here too, e.g. https://reysourcez.github.io</t>
  </si>
  <si>
    <t xml:space="preserve">GEMINI_ENABLED</t>
  </si>
  <si>
    <t xml:space="preserve">Set to 1 only AFTER billing is on for the Google project. On the free quota Google may use what you send.</t>
  </si>
  <si>
    <t xml:space="preserve">GEMINI_MODEL</t>
  </si>
  <si>
    <t xml:space="preserve">gemini-3.5-transcribe</t>
  </si>
  <si>
    <t xml:space="preserve">Gemini model used for transcription.</t>
  </si>
  <si>
    <t xml:space="preserve">WHISPER_MODEL</t>
  </si>
  <si>
    <t xml:space="preserve">@cf/openai/whisper-large-v3-turbo</t>
  </si>
  <si>
    <t xml:space="preserve">Cloudflare Workers AI speech model.</t>
  </si>
  <si>
    <t xml:space="preserve">WHISPER_VAD</t>
  </si>
  <si>
    <t xml:space="preserve">1 = skip silence before transcribing.</t>
  </si>
  <si>
    <t xml:space="preserve">MONTHLY_CAP_USD</t>
  </si>
  <si>
    <t xml:space="preserve">Whole-site spending cap, in US$ (estimate). Requests stop when it would be passed.</t>
  </si>
  <si>
    <t xml:space="preserve">DAILY_MIN_PER_CLIENT</t>
  </si>
  <si>
    <t xml:space="preserve">Audio minutes one device may use per day.</t>
  </si>
  <si>
    <t xml:space="preserve">MAX_UPLOAD_MB</t>
  </si>
  <si>
    <t xml:space="preserve">Largest single audio part the Worker accepts.</t>
  </si>
  <si>
    <t xml:space="preserve">MAX_SEGMENT_SEC</t>
  </si>
  <si>
    <t xml:space="preserve">Longest single part in seconds (1800 = 30 minutes).</t>
  </si>
  <si>
    <t xml:space="preserve">RETENTION_DAYS</t>
  </si>
  <si>
    <t xml:space="preserve">Kept audio is deleted after this many days (needs the daily Cron Trigger).</t>
  </si>
  <si>
    <t xml:space="preserve">CONSENT_VERSION</t>
  </si>
  <si>
    <t xml:space="preserve">Must equal consentVersion in site-config.js.</t>
  </si>
  <si>
    <t xml:space="preserve">RULE_MIN_SEEN</t>
  </si>
  <si>
    <t xml:space="preserve">How many identical corrections before a fix is suggested.</t>
  </si>
  <si>
    <t xml:space="preserve">BIAS_TERMS_MAX</t>
  </si>
  <si>
    <t xml:space="preserve">How many word-list entries are sent with each recording.</t>
  </si>
  <si>
    <t xml:space="preserve">COST_GEMINI_PER_MIN_USD</t>
  </si>
  <si>
    <t xml:space="preserve">Estimated Gemini cost per audio minute (US$). Used for the cap and the Cost planner.</t>
  </si>
  <si>
    <t xml:space="preserve">COST_WHISPER_PER_MIN_USD</t>
  </si>
  <si>
    <t xml:space="preserve">Cloudflare list price per audio minute (US$).</t>
  </si>
  <si>
    <t xml:space="preserve">Secrets (names only)</t>
  </si>
  <si>
    <t xml:space="preserve">ACCESS_CODE</t>
  </si>
  <si>
    <t xml:space="preserve">(secret: never type it here)</t>
  </si>
  <si>
    <t xml:space="preserve">n/a</t>
  </si>
  <si>
    <t xml:space="preserve">Cloudflare &gt; Worker &gt; Settings &gt; Variables and secrets &gt; Secret</t>
  </si>
  <si>
    <t xml:space="preserve">REQUIRED. The code your team types on the page.</t>
  </si>
  <si>
    <t xml:space="preserve">ADMIN_CODE</t>
  </si>
  <si>
    <t xml:space="preserve">(secret: optional)</t>
  </si>
  <si>
    <t xml:space="preserve">Optional separate code for approving fixes and verifying or deleting words. If empty, ACCESS_CODE does both.</t>
  </si>
  <si>
    <t xml:space="preserve">GEMINI_API_KEY</t>
  </si>
  <si>
    <t xml:space="preserve">Your Google Gemini key. Without it, only Whisper runs.</t>
  </si>
  <si>
    <t xml:space="preserve">Bindings</t>
  </si>
  <si>
    <t xml:space="preserve">DB</t>
  </si>
  <si>
    <t xml:space="preserve">D1 database binding</t>
  </si>
  <si>
    <t xml:space="preserve">Cloudflare &gt; Worker &gt; Settings &gt; Bindings</t>
  </si>
  <si>
    <t xml:space="preserve">REQUIRED. Variable name must be exactly DB.</t>
  </si>
  <si>
    <t xml:space="preserve">AI</t>
  </si>
  <si>
    <t xml:space="preserve">Workers AI binding</t>
  </si>
  <si>
    <t xml:space="preserve">Needed for Whisper and Tamil. Variable name must be exactly AI.</t>
  </si>
  <si>
    <t xml:space="preserve">AUDIO</t>
  </si>
  <si>
    <t xml:space="preserve">R2 bucket binding (optional)</t>
  </si>
  <si>
    <t xml:space="preserve">Only if you want to keep audio (with consent). Variable name must be exactly AUDIO.</t>
  </si>
  <si>
    <t xml:space="preserve">Suggested names</t>
  </si>
  <si>
    <t xml:space="preserve">Worker name</t>
  </si>
  <si>
    <t xml:space="preserve">reysourcez-transcriber-worker</t>
  </si>
  <si>
    <t xml:space="preserve">Cloudflare &gt; Workers</t>
  </si>
  <si>
    <t xml:space="preserve">Suggested name. Lowercase, no spaces.</t>
  </si>
  <si>
    <t xml:space="preserve">D1 database name</t>
  </si>
  <si>
    <t xml:space="preserve">reysourcez-transcriber-db</t>
  </si>
  <si>
    <t xml:space="preserve">Cloudflare &gt; D1</t>
  </si>
  <si>
    <t xml:space="preserve">Suggested name.</t>
  </si>
  <si>
    <t xml:space="preserve">R2 bucket name</t>
  </si>
  <si>
    <t xml:space="preserve">reysourcez-transcriber-audio</t>
  </si>
  <si>
    <t xml:space="preserve">Cloudflare &gt; R2</t>
  </si>
  <si>
    <t xml:space="preserve">Suggested name (optional).</t>
  </si>
  <si>
    <t xml:space="preserve">Language id</t>
  </si>
  <si>
    <t xml:space="preserve">Label on the page</t>
  </si>
  <si>
    <t xml:space="preserve">Status</t>
  </si>
  <si>
    <t xml:space="preserve">Gemini language codes</t>
  </si>
  <si>
    <t xml:space="preserve">Whisper code</t>
  </si>
  <si>
    <t xml:space="preserve">Word lists sent</t>
  </si>
  <si>
    <t xml:space="preserve">First-choice engine</t>
  </si>
  <si>
    <t xml:space="preserve">Auto-detect (mixed speech)</t>
  </si>
  <si>
    <t xml:space="preserve">ready</t>
  </si>
  <si>
    <t xml:space="preserve">(auto-detect)</t>
  </si>
  <si>
    <t xml:space="preserve">ms, ms-sarawak, en</t>
  </si>
  <si>
    <t xml:space="preserve">gemini</t>
  </si>
  <si>
    <t xml:space="preserve">ms</t>
  </si>
  <si>
    <t xml:space="preserve">Bahasa Malaysia</t>
  </si>
  <si>
    <t xml:space="preserve">ms-MY</t>
  </si>
  <si>
    <t xml:space="preserve">ms-sarawak</t>
  </si>
  <si>
    <t xml:space="preserve">Bahasa Sarawak</t>
  </si>
  <si>
    <t xml:space="preserve">beta</t>
  </si>
  <si>
    <t xml:space="preserve">ms-sarawak, ms</t>
  </si>
  <si>
    <t xml:space="preserve">en</t>
  </si>
  <si>
    <t xml:space="preserve">English</t>
  </si>
  <si>
    <t xml:space="preserve">en-GB</t>
  </si>
  <si>
    <t xml:space="preserve">ms-en</t>
  </si>
  <si>
    <t xml:space="preserve">BM + English mixed</t>
  </si>
  <si>
    <t xml:space="preserve">ms-MY, en-GB</t>
  </si>
  <si>
    <t xml:space="preserve">zh</t>
  </si>
  <si>
    <t xml:space="preserve">Mandarin</t>
  </si>
  <si>
    <t xml:space="preserve">secondary</t>
  </si>
  <si>
    <t xml:space="preserve">cmn-Hans-CN</t>
  </si>
  <si>
    <t xml:space="preserve">ta</t>
  </si>
  <si>
    <t xml:space="preserve">Tamil</t>
  </si>
  <si>
    <t xml:space="preserve">not supported by Gemini</t>
  </si>
  <si>
    <t xml:space="preserve">whisper</t>
  </si>
  <si>
    <t xml:space="preserve">iban</t>
  </si>
  <si>
    <t xml:space="preserve">Iban (experimental)</t>
  </si>
  <si>
    <t xml:space="preserve">experimental</t>
  </si>
  <si>
    <t xml:space="preserve">These are defined at the top of the Worker file (LANGS). To add or change a language, ask the AI to edit that list and re-test.</t>
  </si>
  <si>
    <t xml:space="preserve">Monthly cost planner</t>
  </si>
  <si>
    <t xml:space="preserve">Change the blue numbers. Prices come from the Settings sheet. All figures are estimates.</t>
  </si>
  <si>
    <t xml:space="preserve">Your inputs</t>
  </si>
  <si>
    <t xml:space="preserve">Audio hours per month</t>
  </si>
  <si>
    <t xml:space="preserve">Hours of speech you expect to transcribe in a month.</t>
  </si>
  <si>
    <t xml:space="preserve">Share sent to Gemini</t>
  </si>
  <si>
    <t xml:space="preserve">The rest goes to Whisper (Cloudflare). Tamil always uses Whisper.</t>
  </si>
  <si>
    <t xml:space="preserve">Share sent to Whisper</t>
  </si>
  <si>
    <t xml:space="preserve">RM per US$ (placeholder, update it)</t>
  </si>
  <si>
    <t xml:space="preserve">Placeholder, not a quote. Type today's exchange rate.</t>
  </si>
  <si>
    <t xml:space="preserve">Prices (from the Settings sheet)</t>
  </si>
  <si>
    <t xml:space="preserve">Gemini per audio hour (US$)</t>
  </si>
  <si>
    <t xml:space="preserve">Per-minute estimate x 60. Confirm on Google's pricing page.</t>
  </si>
  <si>
    <t xml:space="preserve">Whisper per audio hour (US$)</t>
  </si>
  <si>
    <t xml:space="preserve">Cloudflare list price x 60. The Workers Free plan covers roughly 100 hours a month of Whisper.</t>
  </si>
  <si>
    <t xml:space="preserve">Result</t>
  </si>
  <si>
    <t xml:space="preserve">Gemini, US$ per month</t>
  </si>
  <si>
    <t xml:space="preserve">Whisper, US$ per month</t>
  </si>
  <si>
    <t xml:space="preserve">Total, US$ per month</t>
  </si>
  <si>
    <t xml:space="preserve">Total, RM per month</t>
  </si>
  <si>
    <t xml:space="preserve">Monthly cap in the Worker (US$)</t>
  </si>
  <si>
    <t xml:space="preserve">Check against the cap</t>
  </si>
  <si>
    <t xml:space="preserve">Storage and database are small at first; see the Dossier, section 4.8.</t>
  </si>
  <si>
    <t xml:space="preserve">language</t>
  </si>
  <si>
    <t xml:space="preserve">term</t>
  </si>
  <si>
    <t xml:space="preserve">meaning</t>
  </si>
  <si>
    <t xml:space="preserve">variants</t>
  </si>
  <si>
    <t xml:space="preserve">source</t>
  </si>
  <si>
    <t xml:space="preserve">How to use</t>
  </si>
  <si>
    <t xml:space="preserve">EXAMPLE_TERM</t>
  </si>
  <si>
    <t xml:space="preserve">replace this row with a real word</t>
  </si>
  <si>
    <t xml:space="preserve">where you found it</t>
  </si>
  <si>
    <t xml:space="preserve">Row 2 is an example (the importer skips EXAMPLE_TERM). Overwrite it or add rows below.</t>
  </si>
  <si>
    <t xml:space="preserve">language must be: ms, ms-sarawak, en, zh, ta or iban.</t>
  </si>
  <si>
    <t xml:space="preserve">Save this sheet as CSV, then Word list &gt; Import a CSV on the page.</t>
  </si>
  <si>
    <t xml:space="preserve">Only add words you have the right to use. Check the source licence first.</t>
  </si>
</sst>
</file>

<file path=xl/styles.xml><?xml version="1.0" encoding="utf-8"?>
<styleSheet xmlns="http://schemas.openxmlformats.org/spreadsheetml/2006/main">
  <numFmts count="9">
    <numFmt numFmtId="164" formatCode="General"/>
    <numFmt numFmtId="165" formatCode="General"/>
    <numFmt numFmtId="166" formatCode="#,##0"/>
    <numFmt numFmtId="167" formatCode="0%"/>
    <numFmt numFmtId="168" formatCode="0.00"/>
    <numFmt numFmtId="169" formatCode="0.0000"/>
    <numFmt numFmtId="170" formatCode="\$#,##0.00"/>
    <numFmt numFmtId="171" formatCode="&quot;RM&quot;#,##0.00"/>
    <numFmt numFmtId="172" formatCode="@"/>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C6D64"/>
      <name val="Arial"/>
      <family val="0"/>
      <charset val="1"/>
    </font>
    <font>
      <sz val="10"/>
      <name val="Arial"/>
      <family val="0"/>
      <charset val="1"/>
    </font>
    <font>
      <b val="true"/>
      <sz val="11"/>
      <name val="Arial"/>
      <family val="0"/>
      <charset val="1"/>
    </font>
    <font>
      <i val="true"/>
      <sz val="10"/>
      <color rgb="FF5C6D64"/>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999999"/>
      <name val="Arial"/>
      <family val="0"/>
      <charset val="1"/>
    </font>
    <font>
      <b val="true"/>
      <sz val="14"/>
      <name val="Arial"/>
      <family val="0"/>
      <charset val="1"/>
    </font>
  </fonts>
  <fills count="5">
    <fill>
      <patternFill patternType="none"/>
    </fill>
    <fill>
      <patternFill patternType="gray125"/>
    </fill>
    <fill>
      <patternFill patternType="solid">
        <fgColor rgb="FF1F6F5C"/>
        <bgColor rgb="FF008080"/>
      </patternFill>
    </fill>
    <fill>
      <patternFill patternType="solid">
        <fgColor rgb="FFDCEAE4"/>
        <bgColor rgb="FFD8DCD3"/>
      </patternFill>
    </fill>
    <fill>
      <patternFill patternType="solid">
        <fgColor rgb="FFFFF8E1"/>
        <bgColor rgb="FFFFFFFF"/>
      </patternFill>
    </fill>
  </fills>
  <borders count="2">
    <border diagonalUp="false" diagonalDown="false">
      <left/>
      <right/>
      <top/>
      <bottom/>
      <diagonal/>
    </border>
    <border diagonalUp="false" diagonalDown="false">
      <left style="thin">
        <color rgb="FFD8DCD3"/>
      </left>
      <right style="thin">
        <color rgb="FFD8DCD3"/>
      </right>
      <top style="thin">
        <color rgb="FFD8DCD3"/>
      </top>
      <bottom style="thin">
        <color rgb="FFD8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808080"/>
      <rgbColor rgb="FF9999FF"/>
      <rgbColor rgb="FF993366"/>
      <rgbColor rgb="FFFFF8E1"/>
      <rgbColor rgb="FFCCFFFF"/>
      <rgbColor rgb="FF660066"/>
      <rgbColor rgb="FFFF8080"/>
      <rgbColor rgb="FF0066CC"/>
      <rgbColor rgb="FFD8DCD3"/>
      <rgbColor rgb="FF000080"/>
      <rgbColor rgb="FFFF00FF"/>
      <rgbColor rgb="FFFFFF00"/>
      <rgbColor rgb="FF00FFFF"/>
      <rgbColor rgb="FF800080"/>
      <rgbColor rgb="FF800000"/>
      <rgbColor rgb="FF008080"/>
      <rgbColor rgb="FF0000FF"/>
      <rgbColor rgb="FF00CCFF"/>
      <rgbColor rgb="FFCCFFFF"/>
      <rgbColor rgb="FFDCEAE4"/>
      <rgbColor rgb="FFFFFF99"/>
      <rgbColor rgb="FF99CCFF"/>
      <rgbColor rgb="FFFF99CC"/>
      <rgbColor rgb="FFCC99FF"/>
      <rgbColor rgb="FFFFCC99"/>
      <rgbColor rgb="FF3366FF"/>
      <rgbColor rgb="FF33CCCC"/>
      <rgbColor rgb="FF99CC00"/>
      <rgbColor rgb="FFFFCC00"/>
      <rgbColor rgb="FFFF9900"/>
      <rgbColor rgb="FFFF6600"/>
      <rgbColor rgb="FF5C6D64"/>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35.05" hidden="false" customHeight="false" outlineLevel="0" collapsed="false">
      <c r="B5" s="3" t="s">
        <v>3</v>
      </c>
    </row>
    <row r="6" customFormat="false" ht="15" hidden="false" customHeight="false" outlineLevel="0" collapsed="false">
      <c r="B6" s="3"/>
    </row>
    <row r="7" customFormat="false" ht="15" hidden="false" customHeight="false" outlineLevel="0" collapsed="false">
      <c r="B7" s="4" t="s">
        <v>4</v>
      </c>
    </row>
    <row r="8" customFormat="false" ht="23.85" hidden="false" customHeight="false" outlineLevel="0" collapsed="false">
      <c r="B8" s="3" t="s">
        <v>5</v>
      </c>
    </row>
    <row r="9" customFormat="false" ht="15" hidden="false" customHeight="false" outlineLevel="0" collapsed="false">
      <c r="B9" s="3" t="s">
        <v>6</v>
      </c>
    </row>
    <row r="10" customFormat="false" ht="15" hidden="false" customHeight="false" outlineLevel="0" collapsed="false">
      <c r="B10" s="3" t="s">
        <v>7</v>
      </c>
    </row>
    <row r="11" customFormat="false" ht="23.85" hidden="false" customHeight="false" outlineLevel="0" collapsed="false">
      <c r="B11" s="3" t="s">
        <v>8</v>
      </c>
    </row>
    <row r="12" customFormat="false" ht="15" hidden="false" customHeight="false" outlineLevel="0" collapsed="false">
      <c r="B12" s="3"/>
    </row>
    <row r="13" customFormat="false" ht="15" hidden="false" customHeight="false" outlineLevel="0" collapsed="false">
      <c r="B13" s="4" t="s">
        <v>9</v>
      </c>
    </row>
    <row r="14" customFormat="false" ht="15" hidden="false" customHeight="false" outlineLevel="0" collapsed="false">
      <c r="B14" s="3" t="s">
        <v>10</v>
      </c>
    </row>
    <row r="15" customFormat="false" ht="15" hidden="false" customHeight="false" outlineLevel="0" collapsed="false">
      <c r="B15" s="3"/>
    </row>
    <row r="16" customFormat="false" ht="15" hidden="false" customHeight="false" outlineLevel="0" collapsed="false">
      <c r="B16"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28"/>
    <col collapsed="false" customWidth="true" hidden="false" outlineLevel="0" max="4" min="4" style="0" width="40"/>
    <col collapsed="false" customWidth="true" hidden="false" outlineLevel="0" max="5" min="5" style="0" width="70"/>
  </cols>
  <sheetData>
    <row r="1" customFormat="false" ht="15" hidden="false" customHeight="false" outlineLevel="0" collapsed="false">
      <c r="A1" s="6" t="s">
        <v>12</v>
      </c>
      <c r="B1" s="6" t="s">
        <v>13</v>
      </c>
      <c r="C1" s="6" t="s">
        <v>14</v>
      </c>
      <c r="D1" s="6" t="s">
        <v>15</v>
      </c>
      <c r="E1" s="6" t="s">
        <v>16</v>
      </c>
    </row>
    <row r="2" customFormat="false" ht="15" hidden="false" customHeight="false" outlineLevel="0" collapsed="false">
      <c r="A2" s="7" t="s">
        <v>17</v>
      </c>
      <c r="B2" s="8"/>
      <c r="C2" s="8"/>
      <c r="D2" s="8"/>
      <c r="E2" s="8"/>
    </row>
    <row r="3" customFormat="false" ht="23.85" hidden="false" customHeight="false" outlineLevel="0" collapsed="false">
      <c r="A3" s="9" t="s">
        <v>18</v>
      </c>
      <c r="B3" s="10" t="s">
        <v>19</v>
      </c>
      <c r="C3" s="11"/>
      <c r="D3" s="10" t="s">
        <v>20</v>
      </c>
      <c r="E3" s="10" t="s">
        <v>21</v>
      </c>
    </row>
    <row r="4" customFormat="false" ht="23.85" hidden="false" customHeight="false" outlineLevel="0" collapsed="false">
      <c r="A4" s="9" t="s">
        <v>22</v>
      </c>
      <c r="B4" s="10" t="s">
        <v>23</v>
      </c>
      <c r="C4" s="11"/>
      <c r="D4" s="10" t="s">
        <v>20</v>
      </c>
      <c r="E4" s="10" t="s">
        <v>24</v>
      </c>
    </row>
    <row r="5" customFormat="false" ht="15" hidden="false" customHeight="false" outlineLevel="0" collapsed="false">
      <c r="A5" s="9" t="s">
        <v>25</v>
      </c>
      <c r="B5" s="10" t="n">
        <v>10</v>
      </c>
      <c r="C5" s="11"/>
      <c r="D5" s="10" t="s">
        <v>20</v>
      </c>
      <c r="E5" s="10" t="s">
        <v>26</v>
      </c>
    </row>
    <row r="6" customFormat="false" ht="15" hidden="false" customHeight="false" outlineLevel="0" collapsed="false">
      <c r="A6" s="9" t="s">
        <v>27</v>
      </c>
      <c r="B6" s="10" t="n">
        <v>20</v>
      </c>
      <c r="C6" s="11"/>
      <c r="D6" s="10" t="s">
        <v>20</v>
      </c>
      <c r="E6" s="10" t="s">
        <v>28</v>
      </c>
    </row>
    <row r="7" customFormat="false" ht="15" hidden="false" customHeight="false" outlineLevel="0" collapsed="false">
      <c r="A7" s="9" t="s">
        <v>29</v>
      </c>
      <c r="B7" s="10" t="n">
        <v>32000</v>
      </c>
      <c r="C7" s="11"/>
      <c r="D7" s="10" t="s">
        <v>20</v>
      </c>
      <c r="E7" s="10" t="s">
        <v>30</v>
      </c>
    </row>
    <row r="8" customFormat="false" ht="15" hidden="false" customHeight="false" outlineLevel="0" collapsed="false">
      <c r="A8" s="9" t="s">
        <v>31</v>
      </c>
      <c r="B8" s="12" t="b">
        <f aca="false">FALSE()</f>
        <v>0</v>
      </c>
      <c r="C8" s="11"/>
      <c r="D8" s="10" t="s">
        <v>20</v>
      </c>
      <c r="E8" s="10" t="s">
        <v>32</v>
      </c>
    </row>
    <row r="9" customFormat="false" ht="15" hidden="false" customHeight="false" outlineLevel="0" collapsed="false">
      <c r="A9" s="9" t="s">
        <v>33</v>
      </c>
      <c r="B9" s="12" t="b">
        <f aca="false">FALSE()</f>
        <v>0</v>
      </c>
      <c r="C9" s="11"/>
      <c r="D9" s="10" t="s">
        <v>20</v>
      </c>
      <c r="E9" s="10" t="s">
        <v>34</v>
      </c>
    </row>
    <row r="10" customFormat="false" ht="15" hidden="false" customHeight="false" outlineLevel="0" collapsed="false">
      <c r="A10" s="9" t="s">
        <v>35</v>
      </c>
      <c r="B10" s="12" t="b">
        <f aca="false">TRUE()</f>
        <v>1</v>
      </c>
      <c r="C10" s="11"/>
      <c r="D10" s="10" t="s">
        <v>20</v>
      </c>
      <c r="E10" s="10" t="s">
        <v>36</v>
      </c>
    </row>
    <row r="11" customFormat="false" ht="15" hidden="false" customHeight="false" outlineLevel="0" collapsed="false">
      <c r="A11" s="9" t="s">
        <v>37</v>
      </c>
      <c r="B11" s="12" t="b">
        <f aca="false">TRUE()</f>
        <v>1</v>
      </c>
      <c r="C11" s="11"/>
      <c r="D11" s="10" t="s">
        <v>20</v>
      </c>
      <c r="E11" s="10" t="s">
        <v>38</v>
      </c>
    </row>
    <row r="12" customFormat="false" ht="15" hidden="false" customHeight="false" outlineLevel="0" collapsed="false">
      <c r="A12" s="9" t="s">
        <v>39</v>
      </c>
      <c r="B12" s="10" t="s">
        <v>40</v>
      </c>
      <c r="C12" s="11"/>
      <c r="D12" s="10" t="s">
        <v>20</v>
      </c>
      <c r="E12" s="10" t="s">
        <v>41</v>
      </c>
    </row>
    <row r="13" customFormat="false" ht="15" hidden="false" customHeight="false" outlineLevel="0" collapsed="false">
      <c r="A13" s="9" t="s">
        <v>42</v>
      </c>
      <c r="B13" s="10" t="s">
        <v>40</v>
      </c>
      <c r="C13" s="11"/>
      <c r="D13" s="10" t="s">
        <v>20</v>
      </c>
      <c r="E13" s="10" t="s">
        <v>43</v>
      </c>
    </row>
    <row r="14" customFormat="false" ht="15" hidden="false" customHeight="false" outlineLevel="0" collapsed="false">
      <c r="A14" s="7" t="s">
        <v>44</v>
      </c>
      <c r="B14" s="8"/>
      <c r="C14" s="8"/>
      <c r="D14" s="8"/>
      <c r="E14" s="8"/>
    </row>
    <row r="15" customFormat="false" ht="23.85" hidden="false" customHeight="false" outlineLevel="0" collapsed="false">
      <c r="A15" s="9" t="s">
        <v>45</v>
      </c>
      <c r="B15" s="10" t="s">
        <v>46</v>
      </c>
      <c r="C15" s="11"/>
      <c r="D15" s="10" t="s">
        <v>47</v>
      </c>
      <c r="E15" s="10" t="s">
        <v>48</v>
      </c>
    </row>
    <row r="16" customFormat="false" ht="23.85" hidden="false" customHeight="false" outlineLevel="0" collapsed="false">
      <c r="A16" s="9" t="s">
        <v>49</v>
      </c>
      <c r="B16" s="10" t="n">
        <v>0</v>
      </c>
      <c r="C16" s="11"/>
      <c r="D16" s="10" t="s">
        <v>47</v>
      </c>
      <c r="E16" s="10" t="s">
        <v>50</v>
      </c>
    </row>
    <row r="17" customFormat="false" ht="23.85" hidden="false" customHeight="false" outlineLevel="0" collapsed="false">
      <c r="A17" s="9" t="s">
        <v>51</v>
      </c>
      <c r="B17" s="10" t="s">
        <v>52</v>
      </c>
      <c r="C17" s="11"/>
      <c r="D17" s="10" t="s">
        <v>47</v>
      </c>
      <c r="E17" s="10" t="s">
        <v>53</v>
      </c>
    </row>
    <row r="18" customFormat="false" ht="23.85" hidden="false" customHeight="false" outlineLevel="0" collapsed="false">
      <c r="A18" s="9" t="s">
        <v>54</v>
      </c>
      <c r="B18" s="10" t="s">
        <v>55</v>
      </c>
      <c r="C18" s="11"/>
      <c r="D18" s="10" t="s">
        <v>47</v>
      </c>
      <c r="E18" s="10" t="s">
        <v>56</v>
      </c>
    </row>
    <row r="19" customFormat="false" ht="23.85" hidden="false" customHeight="false" outlineLevel="0" collapsed="false">
      <c r="A19" s="9" t="s">
        <v>57</v>
      </c>
      <c r="B19" s="10" t="n">
        <v>1</v>
      </c>
      <c r="C19" s="11"/>
      <c r="D19" s="10" t="s">
        <v>47</v>
      </c>
      <c r="E19" s="10" t="s">
        <v>58</v>
      </c>
    </row>
    <row r="20" customFormat="false" ht="23.85" hidden="false" customHeight="false" outlineLevel="0" collapsed="false">
      <c r="A20" s="9" t="s">
        <v>59</v>
      </c>
      <c r="B20" s="10" t="n">
        <v>5</v>
      </c>
      <c r="C20" s="11"/>
      <c r="D20" s="10" t="s">
        <v>47</v>
      </c>
      <c r="E20" s="10" t="s">
        <v>60</v>
      </c>
    </row>
    <row r="21" customFormat="false" ht="23.85" hidden="false" customHeight="false" outlineLevel="0" collapsed="false">
      <c r="A21" s="9" t="s">
        <v>61</v>
      </c>
      <c r="B21" s="10" t="n">
        <v>120</v>
      </c>
      <c r="C21" s="11"/>
      <c r="D21" s="10" t="s">
        <v>47</v>
      </c>
      <c r="E21" s="10" t="s">
        <v>62</v>
      </c>
    </row>
    <row r="22" customFormat="false" ht="23.85" hidden="false" customHeight="false" outlineLevel="0" collapsed="false">
      <c r="A22" s="9" t="s">
        <v>63</v>
      </c>
      <c r="B22" s="10" t="n">
        <v>20</v>
      </c>
      <c r="C22" s="11"/>
      <c r="D22" s="10" t="s">
        <v>47</v>
      </c>
      <c r="E22" s="10" t="s">
        <v>64</v>
      </c>
    </row>
    <row r="23" customFormat="false" ht="23.85" hidden="false" customHeight="false" outlineLevel="0" collapsed="false">
      <c r="A23" s="9" t="s">
        <v>65</v>
      </c>
      <c r="B23" s="10" t="n">
        <v>1800</v>
      </c>
      <c r="C23" s="11"/>
      <c r="D23" s="10" t="s">
        <v>47</v>
      </c>
      <c r="E23" s="10" t="s">
        <v>66</v>
      </c>
    </row>
    <row r="24" customFormat="false" ht="23.85" hidden="false" customHeight="false" outlineLevel="0" collapsed="false">
      <c r="A24" s="9" t="s">
        <v>67</v>
      </c>
      <c r="B24" s="10" t="n">
        <v>90</v>
      </c>
      <c r="C24" s="11"/>
      <c r="D24" s="10" t="s">
        <v>47</v>
      </c>
      <c r="E24" s="10" t="s">
        <v>68</v>
      </c>
    </row>
    <row r="25" customFormat="false" ht="23.85" hidden="false" customHeight="false" outlineLevel="0" collapsed="false">
      <c r="A25" s="9" t="s">
        <v>69</v>
      </c>
      <c r="B25" s="10" t="s">
        <v>23</v>
      </c>
      <c r="C25" s="11"/>
      <c r="D25" s="10" t="s">
        <v>47</v>
      </c>
      <c r="E25" s="10" t="s">
        <v>70</v>
      </c>
    </row>
    <row r="26" customFormat="false" ht="23.85" hidden="false" customHeight="false" outlineLevel="0" collapsed="false">
      <c r="A26" s="9" t="s">
        <v>71</v>
      </c>
      <c r="B26" s="10" t="n">
        <v>3</v>
      </c>
      <c r="C26" s="11"/>
      <c r="D26" s="10" t="s">
        <v>47</v>
      </c>
      <c r="E26" s="10" t="s">
        <v>72</v>
      </c>
    </row>
    <row r="27" customFormat="false" ht="23.85" hidden="false" customHeight="false" outlineLevel="0" collapsed="false">
      <c r="A27" s="9" t="s">
        <v>73</v>
      </c>
      <c r="B27" s="10" t="n">
        <v>100</v>
      </c>
      <c r="C27" s="11"/>
      <c r="D27" s="10" t="s">
        <v>47</v>
      </c>
      <c r="E27" s="10" t="s">
        <v>74</v>
      </c>
    </row>
    <row r="28" customFormat="false" ht="23.85" hidden="false" customHeight="false" outlineLevel="0" collapsed="false">
      <c r="A28" s="9" t="s">
        <v>75</v>
      </c>
      <c r="B28" s="10" t="n">
        <v>0.005</v>
      </c>
      <c r="C28" s="11"/>
      <c r="D28" s="10" t="s">
        <v>47</v>
      </c>
      <c r="E28" s="10" t="s">
        <v>76</v>
      </c>
    </row>
    <row r="29" customFormat="false" ht="23.85" hidden="false" customHeight="false" outlineLevel="0" collapsed="false">
      <c r="A29" s="9" t="s">
        <v>77</v>
      </c>
      <c r="B29" s="10" t="n">
        <v>0.00051</v>
      </c>
      <c r="C29" s="11"/>
      <c r="D29" s="10" t="s">
        <v>47</v>
      </c>
      <c r="E29" s="10" t="s">
        <v>78</v>
      </c>
    </row>
    <row r="30" customFormat="false" ht="15" hidden="false" customHeight="false" outlineLevel="0" collapsed="false">
      <c r="A30" s="7" t="s">
        <v>79</v>
      </c>
      <c r="B30" s="8"/>
      <c r="C30" s="8"/>
      <c r="D30" s="8"/>
      <c r="E30" s="8"/>
    </row>
    <row r="31" customFormat="false" ht="23.85" hidden="false" customHeight="false" outlineLevel="0" collapsed="false">
      <c r="A31" s="9" t="s">
        <v>80</v>
      </c>
      <c r="B31" s="10" t="s">
        <v>81</v>
      </c>
      <c r="C31" s="13" t="s">
        <v>82</v>
      </c>
      <c r="D31" s="10" t="s">
        <v>83</v>
      </c>
      <c r="E31" s="10" t="s">
        <v>84</v>
      </c>
    </row>
    <row r="32" customFormat="false" ht="23.85" hidden="false" customHeight="false" outlineLevel="0" collapsed="false">
      <c r="A32" s="9" t="s">
        <v>85</v>
      </c>
      <c r="B32" s="10" t="s">
        <v>86</v>
      </c>
      <c r="C32" s="13" t="s">
        <v>82</v>
      </c>
      <c r="D32" s="10" t="s">
        <v>83</v>
      </c>
      <c r="E32" s="10" t="s">
        <v>87</v>
      </c>
    </row>
    <row r="33" customFormat="false" ht="23.85" hidden="false" customHeight="false" outlineLevel="0" collapsed="false">
      <c r="A33" s="9" t="s">
        <v>88</v>
      </c>
      <c r="B33" s="10" t="s">
        <v>86</v>
      </c>
      <c r="C33" s="13" t="s">
        <v>82</v>
      </c>
      <c r="D33" s="10" t="s">
        <v>83</v>
      </c>
      <c r="E33" s="10" t="s">
        <v>89</v>
      </c>
    </row>
    <row r="34" customFormat="false" ht="15" hidden="false" customHeight="false" outlineLevel="0" collapsed="false">
      <c r="A34" s="7" t="s">
        <v>90</v>
      </c>
      <c r="B34" s="8"/>
      <c r="C34" s="8"/>
      <c r="D34" s="8"/>
      <c r="E34" s="8"/>
    </row>
    <row r="35" customFormat="false" ht="15" hidden="false" customHeight="false" outlineLevel="0" collapsed="false">
      <c r="A35" s="9" t="s">
        <v>91</v>
      </c>
      <c r="B35" s="10" t="s">
        <v>92</v>
      </c>
      <c r="C35" s="13" t="s">
        <v>82</v>
      </c>
      <c r="D35" s="10" t="s">
        <v>93</v>
      </c>
      <c r="E35" s="10" t="s">
        <v>94</v>
      </c>
    </row>
    <row r="36" customFormat="false" ht="15" hidden="false" customHeight="false" outlineLevel="0" collapsed="false">
      <c r="A36" s="9" t="s">
        <v>95</v>
      </c>
      <c r="B36" s="10" t="s">
        <v>96</v>
      </c>
      <c r="C36" s="13" t="s">
        <v>82</v>
      </c>
      <c r="D36" s="10" t="s">
        <v>93</v>
      </c>
      <c r="E36" s="10" t="s">
        <v>97</v>
      </c>
    </row>
    <row r="37" customFormat="false" ht="15" hidden="false" customHeight="false" outlineLevel="0" collapsed="false">
      <c r="A37" s="9" t="s">
        <v>98</v>
      </c>
      <c r="B37" s="10" t="s">
        <v>99</v>
      </c>
      <c r="C37" s="13" t="s">
        <v>82</v>
      </c>
      <c r="D37" s="10" t="s">
        <v>93</v>
      </c>
      <c r="E37" s="10" t="s">
        <v>100</v>
      </c>
    </row>
    <row r="38" customFormat="false" ht="15" hidden="false" customHeight="false" outlineLevel="0" collapsed="false">
      <c r="A38" s="7" t="s">
        <v>101</v>
      </c>
      <c r="B38" s="8"/>
      <c r="C38" s="8"/>
      <c r="D38" s="8"/>
      <c r="E38" s="8"/>
    </row>
    <row r="39" customFormat="false" ht="15" hidden="false" customHeight="false" outlineLevel="0" collapsed="false">
      <c r="A39" s="9" t="s">
        <v>102</v>
      </c>
      <c r="B39" s="10" t="s">
        <v>103</v>
      </c>
      <c r="C39" s="11"/>
      <c r="D39" s="10" t="s">
        <v>104</v>
      </c>
      <c r="E39" s="10" t="s">
        <v>105</v>
      </c>
    </row>
    <row r="40" customFormat="false" ht="15" hidden="false" customHeight="false" outlineLevel="0" collapsed="false">
      <c r="A40" s="9" t="s">
        <v>106</v>
      </c>
      <c r="B40" s="10" t="s">
        <v>107</v>
      </c>
      <c r="C40" s="11"/>
      <c r="D40" s="10" t="s">
        <v>108</v>
      </c>
      <c r="E40" s="10" t="s">
        <v>109</v>
      </c>
    </row>
    <row r="41" customFormat="false" ht="15" hidden="false" customHeight="false" outlineLevel="0" collapsed="false">
      <c r="A41" s="9" t="s">
        <v>110</v>
      </c>
      <c r="B41" s="10" t="s">
        <v>111</v>
      </c>
      <c r="C41" s="11"/>
      <c r="D41" s="10" t="s">
        <v>112</v>
      </c>
      <c r="E41" s="10"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4"/>
    <col collapsed="false" customWidth="true" hidden="false" outlineLevel="0" max="4" min="4" style="0" width="26"/>
    <col collapsed="false" customWidth="true" hidden="false" outlineLevel="0" max="5" min="5" style="0" width="14"/>
    <col collapsed="false" customWidth="true" hidden="false" outlineLevel="0" max="6" min="6" style="0" width="28"/>
    <col collapsed="false" customWidth="true" hidden="false" outlineLevel="0" max="7" min="7" style="0" width="18"/>
  </cols>
  <sheetData>
    <row r="1" customFormat="false" ht="15" hidden="false" customHeight="false" outlineLevel="0" collapsed="false">
      <c r="A1" s="6" t="s">
        <v>114</v>
      </c>
      <c r="B1" s="6" t="s">
        <v>115</v>
      </c>
      <c r="C1" s="6" t="s">
        <v>116</v>
      </c>
      <c r="D1" s="6" t="s">
        <v>117</v>
      </c>
      <c r="E1" s="6" t="s">
        <v>118</v>
      </c>
      <c r="F1" s="6" t="s">
        <v>119</v>
      </c>
      <c r="G1" s="6" t="s">
        <v>120</v>
      </c>
    </row>
    <row r="2" customFormat="false" ht="15" hidden="false" customHeight="false" outlineLevel="0" collapsed="false">
      <c r="A2" s="10" t="s">
        <v>40</v>
      </c>
      <c r="B2" s="10" t="s">
        <v>121</v>
      </c>
      <c r="C2" s="10" t="s">
        <v>122</v>
      </c>
      <c r="D2" s="10" t="s">
        <v>123</v>
      </c>
      <c r="E2" s="10" t="s">
        <v>123</v>
      </c>
      <c r="F2" s="10" t="s">
        <v>124</v>
      </c>
      <c r="G2" s="10" t="s">
        <v>125</v>
      </c>
    </row>
    <row r="3" customFormat="false" ht="15" hidden="false" customHeight="false" outlineLevel="0" collapsed="false">
      <c r="A3" s="10" t="s">
        <v>126</v>
      </c>
      <c r="B3" s="10" t="s">
        <v>127</v>
      </c>
      <c r="C3" s="10" t="s">
        <v>122</v>
      </c>
      <c r="D3" s="10" t="s">
        <v>128</v>
      </c>
      <c r="E3" s="10" t="s">
        <v>126</v>
      </c>
      <c r="F3" s="10" t="s">
        <v>126</v>
      </c>
      <c r="G3" s="10" t="s">
        <v>125</v>
      </c>
    </row>
    <row r="4" customFormat="false" ht="15" hidden="false" customHeight="false" outlineLevel="0" collapsed="false">
      <c r="A4" s="10" t="s">
        <v>129</v>
      </c>
      <c r="B4" s="10" t="s">
        <v>130</v>
      </c>
      <c r="C4" s="10" t="s">
        <v>131</v>
      </c>
      <c r="D4" s="10" t="s">
        <v>128</v>
      </c>
      <c r="E4" s="10" t="s">
        <v>126</v>
      </c>
      <c r="F4" s="10" t="s">
        <v>132</v>
      </c>
      <c r="G4" s="10" t="s">
        <v>125</v>
      </c>
    </row>
    <row r="5" customFormat="false" ht="15" hidden="false" customHeight="false" outlineLevel="0" collapsed="false">
      <c r="A5" s="10" t="s">
        <v>133</v>
      </c>
      <c r="B5" s="10" t="s">
        <v>134</v>
      </c>
      <c r="C5" s="10" t="s">
        <v>122</v>
      </c>
      <c r="D5" s="10" t="s">
        <v>135</v>
      </c>
      <c r="E5" s="10" t="s">
        <v>133</v>
      </c>
      <c r="F5" s="10" t="s">
        <v>133</v>
      </c>
      <c r="G5" s="10" t="s">
        <v>125</v>
      </c>
    </row>
    <row r="6" customFormat="false" ht="15" hidden="false" customHeight="false" outlineLevel="0" collapsed="false">
      <c r="A6" s="10" t="s">
        <v>136</v>
      </c>
      <c r="B6" s="10" t="s">
        <v>137</v>
      </c>
      <c r="C6" s="10" t="s">
        <v>122</v>
      </c>
      <c r="D6" s="10" t="s">
        <v>138</v>
      </c>
      <c r="E6" s="10" t="s">
        <v>126</v>
      </c>
      <c r="F6" s="10" t="s">
        <v>124</v>
      </c>
      <c r="G6" s="10" t="s">
        <v>125</v>
      </c>
    </row>
    <row r="7" customFormat="false" ht="15" hidden="false" customHeight="false" outlineLevel="0" collapsed="false">
      <c r="A7" s="10" t="s">
        <v>139</v>
      </c>
      <c r="B7" s="10" t="s">
        <v>140</v>
      </c>
      <c r="C7" s="10" t="s">
        <v>141</v>
      </c>
      <c r="D7" s="10" t="s">
        <v>142</v>
      </c>
      <c r="E7" s="10" t="s">
        <v>139</v>
      </c>
      <c r="F7" s="10" t="s">
        <v>139</v>
      </c>
      <c r="G7" s="10" t="s">
        <v>125</v>
      </c>
    </row>
    <row r="8" customFormat="false" ht="15" hidden="false" customHeight="false" outlineLevel="0" collapsed="false">
      <c r="A8" s="10" t="s">
        <v>143</v>
      </c>
      <c r="B8" s="10" t="s">
        <v>144</v>
      </c>
      <c r="C8" s="10" t="s">
        <v>141</v>
      </c>
      <c r="D8" s="10" t="s">
        <v>145</v>
      </c>
      <c r="E8" s="10" t="s">
        <v>143</v>
      </c>
      <c r="F8" s="10" t="s">
        <v>143</v>
      </c>
      <c r="G8" s="10" t="s">
        <v>146</v>
      </c>
    </row>
    <row r="9" customFormat="false" ht="15" hidden="false" customHeight="false" outlineLevel="0" collapsed="false">
      <c r="A9" s="10" t="s">
        <v>147</v>
      </c>
      <c r="B9" s="10" t="s">
        <v>148</v>
      </c>
      <c r="C9" s="10" t="s">
        <v>149</v>
      </c>
      <c r="D9" s="10" t="s">
        <v>128</v>
      </c>
      <c r="E9" s="10" t="s">
        <v>126</v>
      </c>
      <c r="F9" s="10" t="s">
        <v>147</v>
      </c>
      <c r="G9" s="10" t="s">
        <v>125</v>
      </c>
    </row>
    <row r="11" customFormat="false" ht="15" hidden="false" customHeight="false" outlineLevel="0" collapsed="false">
      <c r="A11" s="14"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80"/>
  </cols>
  <sheetData>
    <row r="1" customFormat="false" ht="17.35" hidden="false" customHeight="false" outlineLevel="0" collapsed="false">
      <c r="A1" s="15" t="s">
        <v>151</v>
      </c>
    </row>
    <row r="2" customFormat="false" ht="15" hidden="false" customHeight="false" outlineLevel="0" collapsed="false">
      <c r="A2" s="14" t="s">
        <v>152</v>
      </c>
    </row>
    <row r="4" customFormat="false" ht="15" hidden="false" customHeight="false" outlineLevel="0" collapsed="false">
      <c r="A4" s="16" t="s">
        <v>153</v>
      </c>
    </row>
    <row r="5" customFormat="false" ht="15" hidden="false" customHeight="false" outlineLevel="0" collapsed="false">
      <c r="A5" s="3" t="s">
        <v>154</v>
      </c>
      <c r="B5" s="17" t="n">
        <v>100</v>
      </c>
      <c r="C5" s="2" t="s">
        <v>155</v>
      </c>
    </row>
    <row r="6" customFormat="false" ht="15" hidden="false" customHeight="false" outlineLevel="0" collapsed="false">
      <c r="A6" s="3" t="s">
        <v>156</v>
      </c>
      <c r="B6" s="18" t="n">
        <v>0.5</v>
      </c>
      <c r="C6" s="2" t="s">
        <v>157</v>
      </c>
    </row>
    <row r="7" customFormat="false" ht="15" hidden="false" customHeight="false" outlineLevel="0" collapsed="false">
      <c r="A7" s="3" t="s">
        <v>158</v>
      </c>
      <c r="B7" s="19" t="n">
        <f aca="false">1-B6</f>
        <v>0.5</v>
      </c>
    </row>
    <row r="8" customFormat="false" ht="15" hidden="false" customHeight="false" outlineLevel="0" collapsed="false">
      <c r="A8" s="3" t="s">
        <v>159</v>
      </c>
      <c r="B8" s="20" t="n">
        <v>4.4</v>
      </c>
      <c r="C8" s="2" t="s">
        <v>160</v>
      </c>
    </row>
    <row r="10" customFormat="false" ht="15" hidden="false" customHeight="false" outlineLevel="0" collapsed="false">
      <c r="A10" s="16" t="s">
        <v>161</v>
      </c>
    </row>
    <row r="11" customFormat="false" ht="15" hidden="false" customHeight="false" outlineLevel="0" collapsed="false">
      <c r="A11" s="3" t="s">
        <v>162</v>
      </c>
      <c r="B11" s="21" t="n">
        <f aca="false">Settings!B28*60</f>
        <v>0.3</v>
      </c>
      <c r="C11" s="2" t="s">
        <v>163</v>
      </c>
    </row>
    <row r="12" customFormat="false" ht="15" hidden="false" customHeight="false" outlineLevel="0" collapsed="false">
      <c r="A12" s="3" t="s">
        <v>164</v>
      </c>
      <c r="B12" s="21" t="n">
        <f aca="false">Settings!B29*60</f>
        <v>0.0306</v>
      </c>
      <c r="C12" s="2" t="s">
        <v>165</v>
      </c>
    </row>
    <row r="14" customFormat="false" ht="15" hidden="false" customHeight="false" outlineLevel="0" collapsed="false">
      <c r="A14" s="16" t="s">
        <v>166</v>
      </c>
    </row>
    <row r="15" customFormat="false" ht="15" hidden="false" customHeight="false" outlineLevel="0" collapsed="false">
      <c r="A15" s="3" t="s">
        <v>167</v>
      </c>
      <c r="B15" s="22" t="n">
        <f aca="false">B5*B6*B11</f>
        <v>15</v>
      </c>
    </row>
    <row r="16" customFormat="false" ht="15" hidden="false" customHeight="false" outlineLevel="0" collapsed="false">
      <c r="A16" s="3" t="s">
        <v>168</v>
      </c>
      <c r="B16" s="22" t="n">
        <f aca="false">B5*B7*B12</f>
        <v>1.53</v>
      </c>
    </row>
    <row r="17" customFormat="false" ht="15" hidden="false" customHeight="false" outlineLevel="0" collapsed="false">
      <c r="A17" s="23" t="s">
        <v>169</v>
      </c>
      <c r="B17" s="24" t="n">
        <f aca="false">B15+B16</f>
        <v>16.53</v>
      </c>
    </row>
    <row r="18" customFormat="false" ht="15" hidden="false" customHeight="false" outlineLevel="0" collapsed="false">
      <c r="A18" s="23" t="s">
        <v>170</v>
      </c>
      <c r="B18" s="25" t="n">
        <f aca="false">B17*B8</f>
        <v>72.732</v>
      </c>
    </row>
    <row r="19" customFormat="false" ht="15" hidden="false" customHeight="false" outlineLevel="0" collapsed="false">
      <c r="A19" s="3" t="s">
        <v>171</v>
      </c>
      <c r="B19" s="22" t="n">
        <f aca="false">Settings!B20</f>
        <v>5</v>
      </c>
    </row>
    <row r="20" customFormat="false" ht="15" hidden="false" customHeight="false" outlineLevel="0" collapsed="false">
      <c r="A20" s="3" t="s">
        <v>172</v>
      </c>
      <c r="B20" s="26" t="str">
        <f aca="false">IF(B17&gt;B19,"Over the cap: raise MONTHLY_CAP_USD or lower the hours","Within the cap")</f>
        <v>Over the cap: raise MONTHLY_CAP_USD or lower the hours</v>
      </c>
      <c r="C20" s="27"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40"/>
    <col collapsed="false" customWidth="true" hidden="false" outlineLevel="0" max="4" min="4" style="0" width="24"/>
    <col collapsed="false" customWidth="true" hidden="false" outlineLevel="0" max="5" min="5" style="0" width="30"/>
    <col collapsed="false" customWidth="true" hidden="false" outlineLevel="0" max="7" min="7" style="0" width="80"/>
  </cols>
  <sheetData>
    <row r="1" customFormat="false" ht="15" hidden="false" customHeight="false" outlineLevel="0" collapsed="false">
      <c r="A1" s="28" t="s">
        <v>174</v>
      </c>
      <c r="B1" s="28" t="s">
        <v>175</v>
      </c>
      <c r="C1" s="28" t="s">
        <v>176</v>
      </c>
      <c r="D1" s="28" t="s">
        <v>177</v>
      </c>
      <c r="E1" s="28" t="s">
        <v>178</v>
      </c>
      <c r="G1" s="16" t="s">
        <v>179</v>
      </c>
    </row>
    <row r="2" customFormat="false" ht="15" hidden="false" customHeight="false" outlineLevel="0" collapsed="false">
      <c r="A2" s="29" t="s">
        <v>129</v>
      </c>
      <c r="B2" s="29" t="s">
        <v>180</v>
      </c>
      <c r="C2" s="29" t="s">
        <v>181</v>
      </c>
      <c r="D2" s="29"/>
      <c r="E2" s="29" t="s">
        <v>182</v>
      </c>
      <c r="G2" s="27" t="s">
        <v>183</v>
      </c>
    </row>
    <row r="3" customFormat="false" ht="15" hidden="false" customHeight="false" outlineLevel="0" collapsed="false">
      <c r="G3" s="27" t="s">
        <v>184</v>
      </c>
    </row>
    <row r="4" customFormat="false" ht="15" hidden="false" customHeight="false" outlineLevel="0" collapsed="false">
      <c r="G4" s="27" t="s">
        <v>185</v>
      </c>
    </row>
    <row r="5" customFormat="false" ht="15" hidden="false" customHeight="false" outlineLevel="0" collapsed="false">
      <c r="G5" s="27" t="s">
        <v>186</v>
      </c>
    </row>
  </sheetData>
  <dataValidations count="1">
    <dataValidation allowBlank="false" error="Use one of: ms, ms-sarawak, en, zh, ta, iban" errorStyle="stop" errorTitle="Language" operator="between" showDropDown="false" showErrorMessage="true" showInputMessage="false" sqref="A2:A1005" type="list">
      <formula1>"ms,ms-sarawak,en,zh,ta,iban"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2026-10-09T11:29:08Z</dcterms:created>
  <dc:creator>openpyxl</dc:creator>
  <dc:description/>
  <dc:language>en-US</dc:language>
  <cp:lastModifiedBy/>
  <dcterms:modified xsi:type="dcterms:W3CDTF">2026-10-09T11:29:08Z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